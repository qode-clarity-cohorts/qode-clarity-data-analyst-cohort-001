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user/Documents/Trainings/QodeC/Hackathon/alpha_cohort_hackathon/hackathon/week-02/learner-a-samuel/dataset/"/>
    </mc:Choice>
  </mc:AlternateContent>
  <xr:revisionPtr revIDLastSave="0" documentId="13_ncr:1_{973BD20B-E325-8942-94D2-E396260FEE28}" xr6:coauthVersionLast="47" xr6:coauthVersionMax="47" xr10:uidLastSave="{00000000-0000-0000-0000-000000000000}"/>
  <bookViews>
    <workbookView xWindow="0" yWindow="500" windowWidth="28800" windowHeight="16380" activeTab="11" xr2:uid="{29F6ECEA-3A53-4344-B649-6D9A9776F52E}"/>
  </bookViews>
  <sheets>
    <sheet name="RawData" sheetId="1" r:id="rId1"/>
    <sheet name="Profille" sheetId="2" r:id="rId2"/>
    <sheet name="IssueLog" sheetId="3" r:id="rId3"/>
    <sheet name="CleaningRules" sheetId="4" r:id="rId4"/>
    <sheet name="CleanData" sheetId="5" r:id="rId5"/>
    <sheet name="CleanDataWIP" sheetId="7" r:id="rId6"/>
    <sheet name="RejectedRows" sheetId="6" r:id="rId7"/>
    <sheet name="ValidationChecks" sheetId="10" r:id="rId8"/>
    <sheet name="ValidationSummary" sheetId="11" r:id="rId9"/>
    <sheet name="DirtyAnswer" sheetId="12" r:id="rId10"/>
    <sheet name="CleanAnswer" sheetId="13" r:id="rId11"/>
    <sheet name="FinalNote" sheetId="14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" l="1"/>
  <c r="Q4" i="7"/>
  <c r="Q5" i="7"/>
  <c r="Q2" i="7"/>
  <c r="P2" i="7" a="1"/>
  <c r="P2" i="7" s="1"/>
  <c r="J2" i="7"/>
  <c r="J3" i="7"/>
  <c r="J4" i="7"/>
  <c r="J5" i="7"/>
  <c r="J6" i="7"/>
  <c r="J7" i="7"/>
  <c r="J8" i="7"/>
  <c r="J9" i="7"/>
  <c r="J10" i="7"/>
  <c r="J11" i="7"/>
  <c r="G2" i="7"/>
  <c r="G3" i="7"/>
  <c r="G4" i="7"/>
  <c r="G5" i="7"/>
  <c r="G6" i="7"/>
  <c r="G7" i="7"/>
  <c r="G8" i="7"/>
  <c r="G9" i="7"/>
  <c r="G10" i="7"/>
  <c r="G11" i="7"/>
  <c r="E2" i="7"/>
  <c r="E3" i="7"/>
  <c r="E4" i="7"/>
  <c r="E5" i="7"/>
  <c r="E6" i="7"/>
  <c r="E7" i="7"/>
  <c r="E8" i="7"/>
  <c r="E9" i="7"/>
  <c r="E10" i="7"/>
  <c r="E11" i="7"/>
  <c r="N11" i="7" a="1"/>
  <c r="N11" i="7" s="1"/>
  <c r="N2" i="7" a="1"/>
  <c r="N2" i="7" s="1"/>
  <c r="N3" i="7" a="1"/>
  <c r="N3" i="7" s="1"/>
  <c r="N4" i="7" a="1"/>
  <c r="N4" i="7" s="1"/>
  <c r="N5" i="7" a="1"/>
  <c r="N5" i="7" s="1"/>
  <c r="N6" i="7" a="1"/>
  <c r="N6" i="7" s="1"/>
  <c r="N7" i="7" a="1"/>
  <c r="N7" i="7" s="1"/>
  <c r="N8" i="7" a="1"/>
  <c r="N8" i="7" s="1"/>
  <c r="N9" i="7" a="1"/>
  <c r="N9" i="7" s="1"/>
  <c r="N10" i="7" a="1"/>
  <c r="N10" i="7" s="1"/>
  <c r="B2" i="3"/>
  <c r="B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<sst xmlns="http://schemas.openxmlformats.org/spreadsheetml/2006/main" count="604" uniqueCount="131">
  <si>
    <t>order_id</t>
  </si>
  <si>
    <t>order_date</t>
  </si>
  <si>
    <t>customer_id</t>
  </si>
  <si>
    <t>customer_name</t>
  </si>
  <si>
    <t>region</t>
  </si>
  <si>
    <t>product</t>
  </si>
  <si>
    <t>category</t>
  </si>
  <si>
    <t>quantity</t>
  </si>
  <si>
    <t>unit_price</t>
  </si>
  <si>
    <t>returned</t>
  </si>
  <si>
    <t>O-1001</t>
  </si>
  <si>
    <t>C-042</t>
  </si>
  <si>
    <t xml:space="preserve"> Amara Okafor </t>
  </si>
  <si>
    <t>north</t>
  </si>
  <si>
    <t>Mouse</t>
  </si>
  <si>
    <t>accessories</t>
  </si>
  <si>
    <t>N</t>
  </si>
  <si>
    <t>AMARA OKAFOR</t>
  </si>
  <si>
    <t>North</t>
  </si>
  <si>
    <t>USB-C Hub</t>
  </si>
  <si>
    <t>Accessories</t>
  </si>
  <si>
    <t>no</t>
  </si>
  <si>
    <t>O-1002</t>
  </si>
  <si>
    <t>C-091</t>
  </si>
  <si>
    <t>Ben Carter</t>
  </si>
  <si>
    <t>South</t>
  </si>
  <si>
    <t>Keyboard</t>
  </si>
  <si>
    <t>Accessory</t>
  </si>
  <si>
    <t>O-1003</t>
  </si>
  <si>
    <t>C-077</t>
  </si>
  <si>
    <t>Chen Li</t>
  </si>
  <si>
    <t>east</t>
  </si>
  <si>
    <t>Monitor</t>
  </si>
  <si>
    <t>Hardware</t>
  </si>
  <si>
    <t>Y</t>
  </si>
  <si>
    <t>O-1004</t>
  </si>
  <si>
    <t>C-105</t>
  </si>
  <si>
    <t>Dina Patel</t>
  </si>
  <si>
    <t>West</t>
  </si>
  <si>
    <t>Desk Chair</t>
  </si>
  <si>
    <t>Furniture</t>
  </si>
  <si>
    <t>O-1005</t>
  </si>
  <si>
    <t>C-118</t>
  </si>
  <si>
    <t>Efe Mensah</t>
  </si>
  <si>
    <t>Cloud Backup Plan</t>
  </si>
  <si>
    <t>software</t>
  </si>
  <si>
    <t>O-1006</t>
  </si>
  <si>
    <t>C-126</t>
  </si>
  <si>
    <t>Fatima Bello</t>
  </si>
  <si>
    <t>Notebook Stand</t>
  </si>
  <si>
    <t>two</t>
  </si>
  <si>
    <t>O-1007</t>
  </si>
  <si>
    <t>C-130</t>
  </si>
  <si>
    <t>Grace Hill</t>
  </si>
  <si>
    <t>East</t>
  </si>
  <si>
    <t>Analytics Starter Pack</t>
  </si>
  <si>
    <t>Software</t>
  </si>
  <si>
    <t>O-1008</t>
  </si>
  <si>
    <t>C-144</t>
  </si>
  <si>
    <t>Hugo Silva</t>
  </si>
  <si>
    <t>Number of dataset row</t>
  </si>
  <si>
    <t>Blanks</t>
  </si>
  <si>
    <t>Number of duplicate records</t>
  </si>
  <si>
    <t>Unexpected Vaues</t>
  </si>
  <si>
    <t>Rows 2 and row 8</t>
  </si>
  <si>
    <t>Bad rows</t>
  </si>
  <si>
    <t>S/N</t>
  </si>
  <si>
    <t>Cleaning Rules</t>
  </si>
  <si>
    <t>Remove duplicate record</t>
  </si>
  <si>
    <t>Step taken</t>
  </si>
  <si>
    <t>Standardise names</t>
  </si>
  <si>
    <t>Name in row 2 and categoory in row 1 and 7 were standardised</t>
  </si>
  <si>
    <t>Column1</t>
  </si>
  <si>
    <t>Column2</t>
  </si>
  <si>
    <t>Column3</t>
  </si>
  <si>
    <t>Amara Okafor</t>
  </si>
  <si>
    <t>Changed text to number where appropriate</t>
  </si>
  <si>
    <t>The text in quantity column was changed to number</t>
  </si>
  <si>
    <t>Normalise inconsistet values</t>
  </si>
  <si>
    <t>The values in returned column were normalised</t>
  </si>
  <si>
    <t>returned2</t>
  </si>
  <si>
    <t>FALSE</t>
  </si>
  <si>
    <t>TRUE</t>
  </si>
  <si>
    <t>Remove incomplete rows</t>
  </si>
  <si>
    <t>Rows with incomplete records were removed/rejected</t>
  </si>
  <si>
    <t>Validation</t>
  </si>
  <si>
    <t>ID duplication</t>
  </si>
  <si>
    <t>Risk</t>
  </si>
  <si>
    <t>Duplicate ID will affect record identification and other actions that requires unique IDs</t>
  </si>
  <si>
    <t>Duplicate records</t>
  </si>
  <si>
    <t>Diplicate recors will give wrong summation and averages</t>
  </si>
  <si>
    <t>Valid date</t>
  </si>
  <si>
    <t>Missing dates will affect tracking the product movement</t>
  </si>
  <si>
    <t>Invalid text in quantity column</t>
  </si>
  <si>
    <t>Having a text in a quatity column which is a measured data type will affect required action on that column</t>
  </si>
  <si>
    <t>Text Standardisation</t>
  </si>
  <si>
    <t>Standardising text improve uniformity and helps in counting values</t>
  </si>
  <si>
    <t>Required value escalation</t>
  </si>
  <si>
    <t>Values that are required are escalated to avoid too many rejected rows</t>
  </si>
  <si>
    <t>Misspelled Categories</t>
  </si>
  <si>
    <t>Correct spelling of text improve uniformity and helps in counting values</t>
  </si>
  <si>
    <t>Correct the misspelled values</t>
  </si>
  <si>
    <t>Row 5 was removed because is is a duplicate record of row 4</t>
  </si>
  <si>
    <t>Accessory in category column was changed to Accessories</t>
  </si>
  <si>
    <t>Trim the leading and trailing spaces</t>
  </si>
  <si>
    <t>Trim the text in are prone to leading and trailing spaces</t>
  </si>
  <si>
    <t>Values with leading spaces</t>
  </si>
  <si>
    <t>Business Issues</t>
  </si>
  <si>
    <t>Messy data</t>
  </si>
  <si>
    <t>duplicate rows</t>
  </si>
  <si>
    <t>blank IDs</t>
  </si>
  <si>
    <t>mixed date format</t>
  </si>
  <si>
    <t>inconsistent regions</t>
  </si>
  <si>
    <t>misspelled categories</t>
  </si>
  <si>
    <t>FINAL NOTES</t>
  </si>
  <si>
    <t>Solution Approach</t>
  </si>
  <si>
    <t>Dupllicate rows were removed</t>
  </si>
  <si>
    <t>Required blank values were escalated</t>
  </si>
  <si>
    <t>Mixed quantity format was regularised</t>
  </si>
  <si>
    <t>Region names were standardised</t>
  </si>
  <si>
    <t>Misspelled categories were corrected</t>
  </si>
  <si>
    <t>Data were cleaned using quality checks</t>
  </si>
  <si>
    <t>The trusted total value by region after cleaning</t>
  </si>
  <si>
    <t>Business Answer</t>
  </si>
  <si>
    <t>Product Category Lead</t>
  </si>
  <si>
    <t>Risky records to be escalated</t>
  </si>
  <si>
    <t>Data quality issue that changes the business the most</t>
  </si>
  <si>
    <t>Inconsistent names and values</t>
  </si>
  <si>
    <t>Regions</t>
  </si>
  <si>
    <t>Value</t>
  </si>
  <si>
    <t>East, with the value of 268.98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</si>
</sst>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14" fontId="0" fillId="2" borderId="2" xfId="0" applyNumberFormat="1" applyFont="1" applyFill="1" applyBorder="1"/>
    <xf numFmtId="0" fontId="2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07754-A8EE-8A41-BFEE-9BC12F57FD08}" name="OrderTable" displayName="OrderTable" ref="A1:J11" totalsRowShown="0">
  <autoFilter ref="A1:J11" xr:uid="{3FE07754-A8EE-8A41-BFEE-9BC12F57FD08}"/>
  <tableColumns count="10">
    <tableColumn id="1" xr3:uid="{7B476090-BC11-1243-9CBA-142EF2C39E29}" name="order_id"/>
    <tableColumn id="2" xr3:uid="{CBD0F00C-9777-9E47-9364-A96989401C7D}" name="order_date" dataDxfId="9"/>
    <tableColumn id="3" xr3:uid="{9C20238E-017F-4843-ACA7-97B6CAC65B45}" name="customer_id"/>
    <tableColumn id="4" xr3:uid="{6D555D32-52A0-804F-8C3A-269E6E8DCB92}" name="customer_name"/>
    <tableColumn id="5" xr3:uid="{3808FEAF-A2E4-274C-8A36-F51A2A1146D2}" name="region"/>
    <tableColumn id="6" xr3:uid="{34D24557-1EF2-874A-9102-284B4BC42255}" name="product"/>
    <tableColumn id="7" xr3:uid="{354E41B2-6816-A945-86D1-0751BD169987}" name="category"/>
    <tableColumn id="8" xr3:uid="{8C7AB28F-2FA1-0C42-AB87-BF91B6BC4480}" name="quantity"/>
    <tableColumn id="9" xr3:uid="{55A16C03-8D86-594B-B9C0-44B5C7F3F649}" name="unit_price"/>
    <tableColumn id="10" xr3:uid="{713E70EF-7728-0945-B1D2-06406F0AC59F}" name="return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41C26F-6172-F74E-8AA4-4B5F28D5FF92}" name="CleanOrderTable" displayName="CleanOrderTable" ref="A1:J10" totalsRowShown="0">
  <autoFilter ref="A1:J10" xr:uid="{C841C26F-6172-F74E-8AA4-4B5F28D5FF92}"/>
  <tableColumns count="10">
    <tableColumn id="1" xr3:uid="{20FFE16D-58FC-7E4F-BEED-E451918B0BFF}" name="order_id"/>
    <tableColumn id="2" xr3:uid="{7310B174-7242-6D41-9273-AF6FFB3C9436}" name="order_date" dataDxfId="8"/>
    <tableColumn id="3" xr3:uid="{E51FE2F7-CAAD-7D4E-9B07-E8D534567FF8}" name="customer_id"/>
    <tableColumn id="13" xr3:uid="{5ED79BD0-A8F8-0D40-B0C3-53AF58F951B3}" name="customer_name"/>
    <tableColumn id="16" xr3:uid="{74D12D9C-8438-5B42-9216-15EDCA2FB717}" name="region"/>
    <tableColumn id="6" xr3:uid="{31693912-2220-4D42-8BE9-2F56C835D1DB}" name="product"/>
    <tableColumn id="11" xr3:uid="{A8BDF058-1D3B-EB47-90EA-D94F84D7B781}" name="category"/>
    <tableColumn id="8" xr3:uid="{15C71C58-3AE9-934F-B168-9C8B6A26F3F2}" name="quantity"/>
    <tableColumn id="9" xr3:uid="{93B7BD94-6BB9-804A-922D-6943961A84FF}" name="unit_price"/>
    <tableColumn id="10" xr3:uid="{F2AEC2AA-C18F-D741-913A-7BB0EDB9B69A}" name="return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AD9755-21F7-E241-A585-C674371B5615}" name="CleanOrderTableWIP" displayName="CleanOrderTableWIP" ref="A1:N11" totalsRowShown="0">
  <autoFilter ref="A1:N11" xr:uid="{C841C26F-6172-F74E-8AA4-4B5F28D5FF92}"/>
  <tableColumns count="14">
    <tableColumn id="1" xr3:uid="{A7503AF0-D9B5-F54D-B8B6-239292480533}" name="order_id"/>
    <tableColumn id="2" xr3:uid="{657285BF-7EBB-864B-9900-A0B11D877448}" name="order_date" dataDxfId="5"/>
    <tableColumn id="3" xr3:uid="{D96AED00-2AF9-2444-BBDD-EFF0FBE9C3DD}" name="customer_id"/>
    <tableColumn id="13" xr3:uid="{95246885-D17B-B842-A161-754BF62C019A}" name="customer_name"/>
    <tableColumn id="18" xr3:uid="{577A7247-4F88-C743-8E0D-E041AA998FD7}" name="Column1" dataDxfId="4">
      <calculatedColumnFormula>TRIM(PROPER(CleanOrderTableWIP[[#This Row],[customer_name]]))</calculatedColumnFormula>
    </tableColumn>
    <tableColumn id="16" xr3:uid="{8BA0C0B5-B9C3-AB4F-80D6-2E0AE00899A5}" name="region"/>
    <tableColumn id="19" xr3:uid="{BDAADCB9-C4D5-1A47-AA7C-9E6D609A8FA9}" name="Column2" dataDxfId="3">
      <calculatedColumnFormula>TRIM(PROPER(CleanOrderTableWIP[[#This Row],[region]]))</calculatedColumnFormula>
    </tableColumn>
    <tableColumn id="6" xr3:uid="{B022AF85-875B-794A-9AFE-021A263A8EBE}" name="product"/>
    <tableColumn id="11" xr3:uid="{7B14DA10-0E01-A043-8DBC-B990C6607FAD}" name="category"/>
    <tableColumn id="20" xr3:uid="{9D4361D7-6E08-4D49-B4E0-D6E03A38E7CD}" name="Column3" dataDxfId="2">
      <calculatedColumnFormula>TRIM(PROPER(CleanOrderTableWIP[[#This Row],[category]]))</calculatedColumnFormula>
    </tableColumn>
    <tableColumn id="8" xr3:uid="{73C9E555-A339-0D4A-98CD-8B61E94B1524}" name="quantity"/>
    <tableColumn id="9" xr3:uid="{5AF29D81-E263-8647-9C40-3BFFF1057656}" name="unit_price"/>
    <tableColumn id="10" xr3:uid="{05FDEE59-0A86-ED40-9DBE-45B88E1D9DE8}" name="returned"/>
    <tableColumn id="17" xr3:uid="{2DD8F6A2-9013-7B45-8272-E75875C58299}" name="returned2" dataDxfId="7">
      <calculatedColumnFormula array="1">_xlfn.IFS(CleanOrderTableWIP[[#This Row],[returned]]="N","FALSE",CleanOrderTableWIP[[#This Row],[returned]]="no","FALSE",CleanOrderTableWIP[[#This Row],[returned]]="Y","TRUE",TRUE,"FALSE")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220195-D050-D446-B0E9-11888585A67A}" name="ValidationOrderTable" displayName="ValidationOrderTable" ref="A1:J10" totalsRowShown="0">
  <autoFilter ref="A1:J10" xr:uid="{E9220195-D050-D446-B0E9-11888585A67A}"/>
  <tableColumns count="10">
    <tableColumn id="1" xr3:uid="{37D5A5A1-83D7-3F4C-9BAA-99143363E96F}" name="order_id"/>
    <tableColumn id="2" xr3:uid="{7DF5CC80-264F-B24D-B2B7-DC385B032ADB}" name="order_date" dataDxfId="6"/>
    <tableColumn id="3" xr3:uid="{F5CD6385-68A2-FA46-8BFE-BD4CFF71A2F5}" name="customer_id"/>
    <tableColumn id="13" xr3:uid="{922A4201-A43B-6D43-8AF8-3F82574B8A3B}" name="customer_name"/>
    <tableColumn id="16" xr3:uid="{976A85ED-25E9-BC46-927E-3CB01D77A834}" name="region"/>
    <tableColumn id="6" xr3:uid="{35C5B601-3FD4-1146-9FDD-E9523116C1AB}" name="product"/>
    <tableColumn id="11" xr3:uid="{B3FDBDC4-0D27-0F4F-9EC6-9187E7BE7011}" name="category"/>
    <tableColumn id="8" xr3:uid="{993F94A3-C14B-F846-B1EC-411EC03975AD}" name="quantity"/>
    <tableColumn id="9" xr3:uid="{A412A716-3AD8-2647-B7B0-06A9E2095696}" name="unit_price"/>
    <tableColumn id="10" xr3:uid="{7A75AA42-2414-2341-A1AC-5CA2B74D699E}" name="return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FF4A53-627B-A241-BB4E-E77E21146C35}" name="OrderTable6" displayName="OrderTable6" ref="A1:J11" totalsRowShown="0">
  <autoFilter ref="A1:J11" xr:uid="{D7FF4A53-627B-A241-BB4E-E77E21146C35}"/>
  <tableColumns count="10">
    <tableColumn id="1" xr3:uid="{E2C0B551-2E7A-2B47-9CA9-1B974315D852}" name="order_id"/>
    <tableColumn id="2" xr3:uid="{4A441397-3B3B-5C4D-8858-2D7FE8AF2D7F}" name="order_date" dataDxfId="1"/>
    <tableColumn id="3" xr3:uid="{B5F420AC-3719-E341-AF16-ADDBFDEC6750}" name="customer_id"/>
    <tableColumn id="4" xr3:uid="{A341BF64-32A3-1747-BB4A-F6ABA6A150A2}" name="customer_name"/>
    <tableColumn id="5" xr3:uid="{3E304926-5912-E242-AAEE-B041992DB69C}" name="region"/>
    <tableColumn id="6" xr3:uid="{B6DCE67C-7CE5-0547-BF84-B8338DA3BB7E}" name="product"/>
    <tableColumn id="7" xr3:uid="{74B8F21E-4CF5-B944-90D8-5FD4DBFAE4A0}" name="category"/>
    <tableColumn id="8" xr3:uid="{60FFD20D-52D8-0C4B-AD7C-3F482EA890D4}" name="quantity"/>
    <tableColumn id="9" xr3:uid="{708D7D78-37D1-604F-9F64-82C5F4F86008}" name="unit_price"/>
    <tableColumn id="10" xr3:uid="{D0230130-4B0A-844C-A90B-0C9F9A82CB3F}" name="return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532B5E-517C-BB47-AEB7-8211E5EABFAD}" name="CleanAnswerOrderTable" displayName="CleanAnswerOrderTable" ref="A1:J10" totalsRowShown="0">
  <autoFilter ref="A1:J10" xr:uid="{5D532B5E-517C-BB47-AEB7-8211E5EABFAD}"/>
  <tableColumns count="10">
    <tableColumn id="1" xr3:uid="{73A7EF7B-D8D9-8A48-A861-E61637635536}" name="order_id"/>
    <tableColumn id="2" xr3:uid="{E8B8D312-03ED-CE45-A86C-7A2401E5CCCB}" name="order_date" dataDxfId="0"/>
    <tableColumn id="3" xr3:uid="{C9D657C4-AA48-0D42-A55C-250BF3C6F0DC}" name="customer_id"/>
    <tableColumn id="13" xr3:uid="{B3821217-D294-2643-937E-A3F8E028428C}" name="customer_name"/>
    <tableColumn id="16" xr3:uid="{7838A2DE-C65D-D446-98A7-3DBCFD5BCF5B}" name="region"/>
    <tableColumn id="6" xr3:uid="{01A22E80-1963-954C-ADD8-568676D92EB1}" name="product"/>
    <tableColumn id="11" xr3:uid="{8E3A2C32-09A7-6840-9A2B-6870692C021C}" name="category"/>
    <tableColumn id="8" xr3:uid="{08ABFF09-067C-8142-A6EC-F3BCD0AAB439}" name="quantity"/>
    <tableColumn id="9" xr3:uid="{9C25E426-5EE6-FA4F-8C88-6E241AC3BD61}" name="unit_price"/>
    <tableColumn id="10" xr3:uid="{196A504B-18F4-6448-A7C1-C22BEAC58E09}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CA4F-E2B7-CD48-9561-B5ED9D1AEF65}">
  <dimension ref="A1:J11"/>
  <sheetViews>
    <sheetView workbookViewId="0">
      <selection sqref="A1:J1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46174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>
        <v>24.99</v>
      </c>
      <c r="J2" t="s">
        <v>16</v>
      </c>
    </row>
    <row r="3" spans="1:10" x14ac:dyDescent="0.2">
      <c r="A3" t="s">
        <v>10</v>
      </c>
      <c r="B3" s="1">
        <v>46174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21</v>
      </c>
    </row>
    <row r="4" spans="1:10" x14ac:dyDescent="0.2">
      <c r="A4" t="s">
        <v>22</v>
      </c>
      <c r="B4" s="1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44.99</v>
      </c>
      <c r="J4" t="b">
        <v>0</v>
      </c>
    </row>
    <row r="5" spans="1:10" x14ac:dyDescent="0.2">
      <c r="A5" t="s">
        <v>28</v>
      </c>
      <c r="B5" s="1">
        <v>46176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</v>
      </c>
      <c r="I5">
        <v>189.99</v>
      </c>
      <c r="J5" t="s">
        <v>34</v>
      </c>
    </row>
    <row r="6" spans="1:10" x14ac:dyDescent="0.2">
      <c r="A6" t="s">
        <v>28</v>
      </c>
      <c r="B6" s="1">
        <v>46176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1</v>
      </c>
      <c r="I6">
        <v>189.99</v>
      </c>
      <c r="J6" t="s">
        <v>34</v>
      </c>
    </row>
    <row r="7" spans="1:10" x14ac:dyDescent="0.2">
      <c r="A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3</v>
      </c>
      <c r="I7">
        <v>129.99</v>
      </c>
      <c r="J7" t="b">
        <v>0</v>
      </c>
    </row>
    <row r="8" spans="1:10" x14ac:dyDescent="0.2">
      <c r="A8" t="s">
        <v>41</v>
      </c>
      <c r="B8" s="1">
        <v>46178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>
        <v>5</v>
      </c>
      <c r="I8">
        <v>14.99</v>
      </c>
      <c r="J8" t="b">
        <v>0</v>
      </c>
    </row>
    <row r="9" spans="1:10" x14ac:dyDescent="0.2">
      <c r="A9" t="s">
        <v>46</v>
      </c>
      <c r="B9" s="1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 t="s">
        <v>50</v>
      </c>
      <c r="I9">
        <v>49.99</v>
      </c>
      <c r="J9" t="b">
        <v>0</v>
      </c>
    </row>
    <row r="10" spans="1:10" x14ac:dyDescent="0.2">
      <c r="A10" t="s">
        <v>51</v>
      </c>
      <c r="B10" s="1">
        <v>46180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>
        <v>1</v>
      </c>
      <c r="I10">
        <v>79.989999999999995</v>
      </c>
      <c r="J10" t="b">
        <v>0</v>
      </c>
    </row>
    <row r="11" spans="1:10" x14ac:dyDescent="0.2">
      <c r="A11" t="s">
        <v>57</v>
      </c>
      <c r="B11" s="1">
        <v>46181</v>
      </c>
      <c r="C11" t="s">
        <v>58</v>
      </c>
      <c r="D11" t="s">
        <v>59</v>
      </c>
      <c r="E11" t="s">
        <v>38</v>
      </c>
      <c r="F11" t="s">
        <v>32</v>
      </c>
      <c r="G11" t="s">
        <v>33</v>
      </c>
      <c r="H11">
        <v>2</v>
      </c>
      <c r="J1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D68F-D982-D646-BC97-47C697E2F2D6}">
  <dimension ref="A1:J11"/>
  <sheetViews>
    <sheetView workbookViewId="0">
      <selection activeCell="E16" sqref="E16"/>
    </sheetView>
  </sheetViews>
  <sheetFormatPr baseColWidth="10" defaultRowHeight="16" x14ac:dyDescent="0.2"/>
  <cols>
    <col min="2" max="2" width="12.33203125" customWidth="1"/>
    <col min="3" max="3" width="13.83203125" customWidth="1"/>
    <col min="4" max="4" width="17" customWidth="1"/>
    <col min="6" max="6" width="18.83203125" bestFit="1" customWidth="1"/>
    <col min="9" max="9" width="11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46174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>
        <v>24.99</v>
      </c>
      <c r="J2" t="s">
        <v>16</v>
      </c>
    </row>
    <row r="3" spans="1:10" x14ac:dyDescent="0.2">
      <c r="A3" t="s">
        <v>10</v>
      </c>
      <c r="B3" s="1">
        <v>46174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21</v>
      </c>
    </row>
    <row r="4" spans="1:10" x14ac:dyDescent="0.2">
      <c r="A4" t="s">
        <v>22</v>
      </c>
      <c r="B4" s="1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44.99</v>
      </c>
      <c r="J4" t="b">
        <v>0</v>
      </c>
    </row>
    <row r="5" spans="1:10" x14ac:dyDescent="0.2">
      <c r="A5" t="s">
        <v>28</v>
      </c>
      <c r="B5" s="1">
        <v>46176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</v>
      </c>
      <c r="I5">
        <v>189.99</v>
      </c>
      <c r="J5" t="s">
        <v>34</v>
      </c>
    </row>
    <row r="6" spans="1:10" x14ac:dyDescent="0.2">
      <c r="A6" t="s">
        <v>28</v>
      </c>
      <c r="B6" s="1">
        <v>46176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1</v>
      </c>
      <c r="I6">
        <v>189.99</v>
      </c>
      <c r="J6" t="s">
        <v>34</v>
      </c>
    </row>
    <row r="7" spans="1:10" x14ac:dyDescent="0.2">
      <c r="A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3</v>
      </c>
      <c r="I7">
        <v>129.99</v>
      </c>
      <c r="J7" t="b">
        <v>0</v>
      </c>
    </row>
    <row r="8" spans="1:10" x14ac:dyDescent="0.2">
      <c r="A8" t="s">
        <v>41</v>
      </c>
      <c r="B8" s="1">
        <v>46178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>
        <v>5</v>
      </c>
      <c r="I8">
        <v>14.99</v>
      </c>
      <c r="J8" t="b">
        <v>0</v>
      </c>
    </row>
    <row r="9" spans="1:10" x14ac:dyDescent="0.2">
      <c r="A9" t="s">
        <v>46</v>
      </c>
      <c r="B9" s="1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 t="s">
        <v>50</v>
      </c>
      <c r="I9">
        <v>49.99</v>
      </c>
      <c r="J9" t="b">
        <v>0</v>
      </c>
    </row>
    <row r="10" spans="1:10" x14ac:dyDescent="0.2">
      <c r="A10" t="s">
        <v>51</v>
      </c>
      <c r="B10" s="1">
        <v>46180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>
        <v>1</v>
      </c>
      <c r="I10">
        <v>79.989999999999995</v>
      </c>
      <c r="J10" t="b">
        <v>0</v>
      </c>
    </row>
    <row r="11" spans="1:10" x14ac:dyDescent="0.2">
      <c r="A11" t="s">
        <v>57</v>
      </c>
      <c r="B11" s="1">
        <v>46181</v>
      </c>
      <c r="C11" t="s">
        <v>58</v>
      </c>
      <c r="D11" t="s">
        <v>59</v>
      </c>
      <c r="E11" t="s">
        <v>38</v>
      </c>
      <c r="F11" t="s">
        <v>32</v>
      </c>
      <c r="G11" t="s">
        <v>33</v>
      </c>
      <c r="H11">
        <v>2</v>
      </c>
      <c r="J11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F6C4-CDB1-3C42-8164-7DC516F26D50}">
  <dimension ref="A1:B6"/>
  <sheetViews>
    <sheetView workbookViewId="0">
      <selection activeCell="A7" sqref="A7"/>
    </sheetView>
  </sheetViews>
  <sheetFormatPr baseColWidth="10" defaultRowHeight="16" x14ac:dyDescent="0.2"/>
  <cols>
    <col min="1" max="1" width="24.33203125" bestFit="1" customWidth="1"/>
    <col min="2" max="2" width="14.83203125" bestFit="1" customWidth="1"/>
  </cols>
  <sheetData>
    <row r="1" spans="1:2" x14ac:dyDescent="0.2">
      <c r="A1" t="s">
        <v>60</v>
      </c>
      <c r="B1">
        <f>ROWS(OrderTable[])</f>
        <v>10</v>
      </c>
    </row>
    <row r="2" spans="1:2" x14ac:dyDescent="0.2">
      <c r="A2" t="s">
        <v>61</v>
      </c>
      <c r="B2">
        <f>COUNTBLANK(OrderTable[])</f>
        <v>2</v>
      </c>
    </row>
    <row r="3" spans="1:2" x14ac:dyDescent="0.2">
      <c r="A3" t="s">
        <v>62</v>
      </c>
      <c r="B3">
        <v>1</v>
      </c>
    </row>
    <row r="4" spans="1:2" x14ac:dyDescent="0.2">
      <c r="A4" t="s">
        <v>63</v>
      </c>
      <c r="B4">
        <v>4</v>
      </c>
    </row>
    <row r="5" spans="1:2" x14ac:dyDescent="0.2">
      <c r="A5" t="s">
        <v>65</v>
      </c>
      <c r="B5" t="s">
        <v>64</v>
      </c>
    </row>
    <row r="6" spans="1:2" x14ac:dyDescent="0.2">
      <c r="A6" t="s">
        <v>106</v>
      </c>
      <c r="B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45EA-C01E-0044-9089-A4BDD8A91D56}">
  <dimension ref="A1:C8"/>
  <sheetViews>
    <sheetView workbookViewId="0">
      <selection activeCell="A9" sqref="A9"/>
    </sheetView>
  </sheetViews>
  <sheetFormatPr baseColWidth="10" defaultRowHeight="16" x14ac:dyDescent="0.2"/>
  <cols>
    <col min="1" max="1" width="4.1640625" bestFit="1" customWidth="1"/>
    <col min="2" max="2" width="36.1640625" bestFit="1" customWidth="1"/>
    <col min="3" max="3" width="51.6640625" bestFit="1" customWidth="1"/>
  </cols>
  <sheetData>
    <row r="1" spans="1:3" x14ac:dyDescent="0.2">
      <c r="A1" s="6" t="s">
        <v>66</v>
      </c>
      <c r="B1" s="6" t="s">
        <v>67</v>
      </c>
      <c r="C1" s="6" t="s">
        <v>69</v>
      </c>
    </row>
    <row r="2" spans="1:3" x14ac:dyDescent="0.2">
      <c r="A2">
        <v>1</v>
      </c>
      <c r="B2" t="s">
        <v>68</v>
      </c>
      <c r="C2" t="s">
        <v>102</v>
      </c>
    </row>
    <row r="3" spans="1:3" x14ac:dyDescent="0.2">
      <c r="A3">
        <v>2</v>
      </c>
      <c r="B3" t="s">
        <v>70</v>
      </c>
      <c r="C3" t="s">
        <v>71</v>
      </c>
    </row>
    <row r="4" spans="1:3" x14ac:dyDescent="0.2">
      <c r="A4">
        <v>3</v>
      </c>
      <c r="B4" t="s">
        <v>76</v>
      </c>
      <c r="C4" t="s">
        <v>77</v>
      </c>
    </row>
    <row r="5" spans="1:3" x14ac:dyDescent="0.2">
      <c r="A5">
        <v>4</v>
      </c>
      <c r="B5" t="s">
        <v>78</v>
      </c>
      <c r="C5" t="s">
        <v>79</v>
      </c>
    </row>
    <row r="6" spans="1:3" x14ac:dyDescent="0.2">
      <c r="A6">
        <v>5</v>
      </c>
      <c r="B6" t="s">
        <v>83</v>
      </c>
      <c r="C6" t="s">
        <v>84</v>
      </c>
    </row>
    <row r="7" spans="1:3" x14ac:dyDescent="0.2">
      <c r="A7">
        <v>6</v>
      </c>
      <c r="B7" t="s">
        <v>101</v>
      </c>
      <c r="C7" t="s">
        <v>103</v>
      </c>
    </row>
    <row r="8" spans="1:3" x14ac:dyDescent="0.2">
      <c r="A8">
        <v>7</v>
      </c>
      <c r="B8" t="s">
        <v>104</v>
      </c>
      <c r="C8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4BD8-2A29-B244-9E8F-EC21C31D44CE}">
  <dimension ref="A1:J10"/>
  <sheetViews>
    <sheetView workbookViewId="0">
      <selection activeCell="J16" sqref="J1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46174</v>
      </c>
      <c r="C2" t="s">
        <v>11</v>
      </c>
      <c r="D2" t="s">
        <v>75</v>
      </c>
      <c r="E2" t="s">
        <v>18</v>
      </c>
      <c r="F2" t="s">
        <v>14</v>
      </c>
      <c r="G2" t="s">
        <v>20</v>
      </c>
      <c r="H2">
        <v>2</v>
      </c>
      <c r="I2">
        <v>24.99</v>
      </c>
      <c r="J2" t="s">
        <v>81</v>
      </c>
    </row>
    <row r="3" spans="1:10" x14ac:dyDescent="0.2">
      <c r="A3" t="s">
        <v>10</v>
      </c>
      <c r="B3" s="1">
        <v>46174</v>
      </c>
      <c r="C3" t="s">
        <v>11</v>
      </c>
      <c r="D3" t="s">
        <v>75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81</v>
      </c>
    </row>
    <row r="4" spans="1:10" x14ac:dyDescent="0.2">
      <c r="A4" t="s">
        <v>22</v>
      </c>
      <c r="B4" s="1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44.99</v>
      </c>
      <c r="J4" t="s">
        <v>81</v>
      </c>
    </row>
    <row r="5" spans="1:10" x14ac:dyDescent="0.2">
      <c r="A5" t="s">
        <v>28</v>
      </c>
      <c r="B5" s="1">
        <v>46176</v>
      </c>
      <c r="C5" t="s">
        <v>29</v>
      </c>
      <c r="D5" t="s">
        <v>30</v>
      </c>
      <c r="E5" t="s">
        <v>54</v>
      </c>
      <c r="F5" t="s">
        <v>32</v>
      </c>
      <c r="G5" t="s">
        <v>33</v>
      </c>
      <c r="H5">
        <v>1</v>
      </c>
      <c r="I5">
        <v>189.99</v>
      </c>
      <c r="J5" t="s">
        <v>82</v>
      </c>
    </row>
    <row r="6" spans="1:10" x14ac:dyDescent="0.2">
      <c r="A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3</v>
      </c>
      <c r="I6">
        <v>129.99</v>
      </c>
      <c r="J6" t="s">
        <v>81</v>
      </c>
    </row>
    <row r="7" spans="1:10" x14ac:dyDescent="0.2">
      <c r="A7" t="s">
        <v>41</v>
      </c>
      <c r="B7" s="1">
        <v>46178</v>
      </c>
      <c r="C7" t="s">
        <v>42</v>
      </c>
      <c r="D7" t="s">
        <v>43</v>
      </c>
      <c r="E7" t="s">
        <v>18</v>
      </c>
      <c r="F7" t="s">
        <v>44</v>
      </c>
      <c r="G7" t="s">
        <v>56</v>
      </c>
      <c r="H7">
        <v>5</v>
      </c>
      <c r="I7">
        <v>14.99</v>
      </c>
      <c r="J7" t="s">
        <v>81</v>
      </c>
    </row>
    <row r="8" spans="1:10" x14ac:dyDescent="0.2">
      <c r="A8" t="s">
        <v>46</v>
      </c>
      <c r="B8" s="1">
        <v>46179</v>
      </c>
      <c r="C8" t="s">
        <v>47</v>
      </c>
      <c r="D8" t="s">
        <v>48</v>
      </c>
      <c r="E8" t="s">
        <v>25</v>
      </c>
      <c r="F8" t="s">
        <v>49</v>
      </c>
      <c r="G8" t="s">
        <v>40</v>
      </c>
      <c r="H8">
        <v>2</v>
      </c>
      <c r="I8">
        <v>49.99</v>
      </c>
      <c r="J8" t="s">
        <v>81</v>
      </c>
    </row>
    <row r="9" spans="1:10" x14ac:dyDescent="0.2">
      <c r="A9" t="s">
        <v>51</v>
      </c>
      <c r="B9" s="1">
        <v>46180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>
        <v>1</v>
      </c>
      <c r="I9">
        <v>79.989999999999995</v>
      </c>
      <c r="J9" t="s">
        <v>81</v>
      </c>
    </row>
    <row r="10" spans="1:10" x14ac:dyDescent="0.2">
      <c r="A10" t="s">
        <v>57</v>
      </c>
      <c r="B10" s="1">
        <v>46181</v>
      </c>
      <c r="C10" t="s">
        <v>58</v>
      </c>
      <c r="D10" t="s">
        <v>59</v>
      </c>
      <c r="E10" t="s">
        <v>38</v>
      </c>
      <c r="F10" t="s">
        <v>32</v>
      </c>
      <c r="G10" t="s">
        <v>33</v>
      </c>
      <c r="H10">
        <v>2</v>
      </c>
      <c r="J10" t="s">
        <v>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B435-133C-FB4C-8F42-A27BEDED17A0}">
  <dimension ref="A1:Q11"/>
  <sheetViews>
    <sheetView workbookViewId="0">
      <selection activeCell="Q2" sqref="Q2:Q5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72</v>
      </c>
      <c r="F1" t="s">
        <v>4</v>
      </c>
      <c r="G1" t="s">
        <v>73</v>
      </c>
      <c r="H1" t="s">
        <v>5</v>
      </c>
      <c r="I1" t="s">
        <v>6</v>
      </c>
      <c r="J1" t="s">
        <v>74</v>
      </c>
      <c r="K1" t="s">
        <v>7</v>
      </c>
      <c r="L1" t="s">
        <v>8</v>
      </c>
      <c r="M1" t="s">
        <v>9</v>
      </c>
      <c r="N1" t="s">
        <v>80</v>
      </c>
      <c r="P1" t="s">
        <v>128</v>
      </c>
      <c r="Q1" t="s">
        <v>129</v>
      </c>
    </row>
    <row r="2" spans="1:17" x14ac:dyDescent="0.2">
      <c r="A2" t="s">
        <v>10</v>
      </c>
      <c r="B2" s="1">
        <v>46174</v>
      </c>
      <c r="C2" t="s">
        <v>11</v>
      </c>
      <c r="D2" t="s">
        <v>12</v>
      </c>
      <c r="E2" t="str">
        <f>TRIM(PROPER(CleanOrderTableWIP[[#This Row],[customer_name]]))</f>
        <v>Amara Okafor</v>
      </c>
      <c r="F2" t="s">
        <v>13</v>
      </c>
      <c r="G2" t="str">
        <f>TRIM(PROPER(CleanOrderTableWIP[[#This Row],[region]]))</f>
        <v>North</v>
      </c>
      <c r="H2" t="s">
        <v>14</v>
      </c>
      <c r="I2" t="s">
        <v>15</v>
      </c>
      <c r="J2" t="str">
        <f>TRIM(PROPER(CleanOrderTableWIP[[#This Row],[category]]))</f>
        <v>Accessories</v>
      </c>
      <c r="K2">
        <v>2</v>
      </c>
      <c r="L2">
        <v>24.99</v>
      </c>
      <c r="M2" t="s">
        <v>16</v>
      </c>
      <c r="N2" t="str" cm="1">
        <f t="array" ref="N2">_xlfn.IFS(CleanOrderTableWIP[[#This Row],[returned]]="N","FALSE",CleanOrderTableWIP[[#This Row],[returned]]="no","FALSE",CleanOrderTableWIP[[#This Row],[returned]]="Y","TRUE",TRUE,"FALSE")</f>
        <v>FALSE</v>
      </c>
      <c r="P2" t="str" cm="1">
        <f t="array" ref="P2:P5">_xlfn.UNIQUE(CleanOrderTable[region])</f>
        <v>North</v>
      </c>
      <c r="Q2">
        <f>SUMIFS(CleanOrderTable[unit_price],CleanOrderTable[region],P2)</f>
        <v>79.97</v>
      </c>
    </row>
    <row r="3" spans="1:17" x14ac:dyDescent="0.2">
      <c r="A3" t="s">
        <v>10</v>
      </c>
      <c r="B3" s="1">
        <v>46174</v>
      </c>
      <c r="C3" t="s">
        <v>11</v>
      </c>
      <c r="D3" t="s">
        <v>17</v>
      </c>
      <c r="E3" t="str">
        <f>TRIM(PROPER(CleanOrderTableWIP[[#This Row],[customer_name]]))</f>
        <v>Amara Okafor</v>
      </c>
      <c r="F3" t="s">
        <v>18</v>
      </c>
      <c r="G3" t="str">
        <f>TRIM(PROPER(CleanOrderTableWIP[[#This Row],[region]]))</f>
        <v>North</v>
      </c>
      <c r="H3" t="s">
        <v>19</v>
      </c>
      <c r="I3" t="s">
        <v>20</v>
      </c>
      <c r="J3" t="str">
        <f>TRIM(PROPER(CleanOrderTableWIP[[#This Row],[category]]))</f>
        <v>Accessories</v>
      </c>
      <c r="K3">
        <v>1</v>
      </c>
      <c r="L3">
        <v>39.99</v>
      </c>
      <c r="M3" t="s">
        <v>21</v>
      </c>
      <c r="N3" t="str" cm="1">
        <f t="array" ref="N3">_xlfn.IFS(CleanOrderTableWIP[[#This Row],[returned]]="N","FALSE",CleanOrderTableWIP[[#This Row],[returned]]="no","FALSE",CleanOrderTableWIP[[#This Row],[returned]]="Y","TRUE",TRUE,"FALSE")</f>
        <v>FALSE</v>
      </c>
      <c r="P3" t="str">
        <v>South</v>
      </c>
      <c r="Q3">
        <f>SUMIFS(CleanOrderTable[unit_price],CleanOrderTable[region],P3)</f>
        <v>94.98</v>
      </c>
    </row>
    <row r="4" spans="1:17" x14ac:dyDescent="0.2">
      <c r="A4" t="s">
        <v>22</v>
      </c>
      <c r="B4" s="1">
        <v>46175</v>
      </c>
      <c r="C4" t="s">
        <v>23</v>
      </c>
      <c r="D4" t="s">
        <v>24</v>
      </c>
      <c r="E4" t="str">
        <f>TRIM(PROPER(CleanOrderTableWIP[[#This Row],[customer_name]]))</f>
        <v>Ben Carter</v>
      </c>
      <c r="F4" t="s">
        <v>25</v>
      </c>
      <c r="G4" t="str">
        <f>TRIM(PROPER(CleanOrderTableWIP[[#This Row],[region]]))</f>
        <v>South</v>
      </c>
      <c r="H4" t="s">
        <v>26</v>
      </c>
      <c r="I4" t="s">
        <v>27</v>
      </c>
      <c r="J4" t="str">
        <f>TRIM(PROPER(CleanOrderTableWIP[[#This Row],[category]]))</f>
        <v>Accessory</v>
      </c>
      <c r="K4">
        <v>1</v>
      </c>
      <c r="L4">
        <v>44.99</v>
      </c>
      <c r="M4" t="b">
        <v>0</v>
      </c>
      <c r="N4" t="str" cm="1">
        <f t="array" ref="N4">_xlfn.IFS(CleanOrderTableWIP[[#This Row],[returned]]="N","FALSE",CleanOrderTableWIP[[#This Row],[returned]]="no","FALSE",CleanOrderTableWIP[[#This Row],[returned]]="Y","TRUE",TRUE,"FALSE")</f>
        <v>FALSE</v>
      </c>
      <c r="P4" t="str">
        <v>East</v>
      </c>
      <c r="Q4">
        <f>SUMIFS(CleanOrderTable[unit_price],CleanOrderTable[region],P4)</f>
        <v>269.98</v>
      </c>
    </row>
    <row r="5" spans="1:17" x14ac:dyDescent="0.2">
      <c r="A5" t="s">
        <v>28</v>
      </c>
      <c r="B5" s="1">
        <v>46176</v>
      </c>
      <c r="C5" t="s">
        <v>29</v>
      </c>
      <c r="D5" t="s">
        <v>30</v>
      </c>
      <c r="E5" t="str">
        <f>TRIM(PROPER(CleanOrderTableWIP[[#This Row],[customer_name]]))</f>
        <v>Chen Li</v>
      </c>
      <c r="F5" t="s">
        <v>31</v>
      </c>
      <c r="G5" t="str">
        <f>TRIM(PROPER(CleanOrderTableWIP[[#This Row],[region]]))</f>
        <v>East</v>
      </c>
      <c r="H5" t="s">
        <v>32</v>
      </c>
      <c r="I5" t="s">
        <v>33</v>
      </c>
      <c r="J5" t="str">
        <f>TRIM(PROPER(CleanOrderTableWIP[[#This Row],[category]]))</f>
        <v>Hardware</v>
      </c>
      <c r="K5">
        <v>1</v>
      </c>
      <c r="L5">
        <v>189.99</v>
      </c>
      <c r="M5" t="s">
        <v>34</v>
      </c>
      <c r="N5" t="str" cm="1">
        <f t="array" ref="N5">_xlfn.IFS(CleanOrderTableWIP[[#This Row],[returned]]="N","FALSE",CleanOrderTableWIP[[#This Row],[returned]]="no","FALSE",CleanOrderTableWIP[[#This Row],[returned]]="Y","TRUE",TRUE,"FALSE")</f>
        <v>TRUE</v>
      </c>
      <c r="P5" t="str">
        <v>West</v>
      </c>
      <c r="Q5">
        <f>SUMIFS(CleanOrderTable[unit_price],CleanOrderTable[region],P5)</f>
        <v>129.99</v>
      </c>
    </row>
    <row r="6" spans="1:17" x14ac:dyDescent="0.2">
      <c r="A6" t="s">
        <v>28</v>
      </c>
      <c r="B6" s="1">
        <v>46176</v>
      </c>
      <c r="C6" t="s">
        <v>29</v>
      </c>
      <c r="D6" t="s">
        <v>30</v>
      </c>
      <c r="E6" t="str">
        <f>TRIM(PROPER(CleanOrderTableWIP[[#This Row],[customer_name]]))</f>
        <v>Chen Li</v>
      </c>
      <c r="F6" t="s">
        <v>31</v>
      </c>
      <c r="G6" t="str">
        <f>TRIM(PROPER(CleanOrderTableWIP[[#This Row],[region]]))</f>
        <v>East</v>
      </c>
      <c r="H6" t="s">
        <v>32</v>
      </c>
      <c r="I6" t="s">
        <v>33</v>
      </c>
      <c r="J6" t="str">
        <f>TRIM(PROPER(CleanOrderTableWIP[[#This Row],[category]]))</f>
        <v>Hardware</v>
      </c>
      <c r="K6">
        <v>1</v>
      </c>
      <c r="L6">
        <v>189.99</v>
      </c>
      <c r="M6" t="s">
        <v>34</v>
      </c>
      <c r="N6" t="str" cm="1">
        <f t="array" ref="N6">_xlfn.IFS(CleanOrderTableWIP[[#This Row],[returned]]="N","FALSE",CleanOrderTableWIP[[#This Row],[returned]]="no","FALSE",CleanOrderTableWIP[[#This Row],[returned]]="Y","TRUE",TRUE,"FALSE")</f>
        <v>TRUE</v>
      </c>
    </row>
    <row r="7" spans="1:17" x14ac:dyDescent="0.2">
      <c r="A7" t="s">
        <v>35</v>
      </c>
      <c r="C7" t="s">
        <v>36</v>
      </c>
      <c r="D7" t="s">
        <v>37</v>
      </c>
      <c r="E7" t="str">
        <f>TRIM(PROPER(CleanOrderTableWIP[[#This Row],[customer_name]]))</f>
        <v>Dina Patel</v>
      </c>
      <c r="F7" t="s">
        <v>38</v>
      </c>
      <c r="G7" t="str">
        <f>TRIM(PROPER(CleanOrderTableWIP[[#This Row],[region]]))</f>
        <v>West</v>
      </c>
      <c r="H7" t="s">
        <v>39</v>
      </c>
      <c r="I7" t="s">
        <v>40</v>
      </c>
      <c r="J7" t="str">
        <f>TRIM(PROPER(CleanOrderTableWIP[[#This Row],[category]]))</f>
        <v>Furniture</v>
      </c>
      <c r="K7">
        <v>3</v>
      </c>
      <c r="L7">
        <v>129.99</v>
      </c>
      <c r="M7" t="b">
        <v>0</v>
      </c>
      <c r="N7" t="str" cm="1">
        <f t="array" ref="N7">_xlfn.IFS(CleanOrderTableWIP[[#This Row],[returned]]="N","FALSE",CleanOrderTableWIP[[#This Row],[returned]]="no","FALSE",CleanOrderTableWIP[[#This Row],[returned]]="Y","TRUE",TRUE,"FALSE")</f>
        <v>FALSE</v>
      </c>
    </row>
    <row r="8" spans="1:17" x14ac:dyDescent="0.2">
      <c r="A8" t="s">
        <v>41</v>
      </c>
      <c r="B8" s="1">
        <v>46178</v>
      </c>
      <c r="C8" t="s">
        <v>42</v>
      </c>
      <c r="D8" t="s">
        <v>43</v>
      </c>
      <c r="E8" t="str">
        <f>TRIM(PROPER(CleanOrderTableWIP[[#This Row],[customer_name]]))</f>
        <v>Efe Mensah</v>
      </c>
      <c r="F8" t="s">
        <v>18</v>
      </c>
      <c r="G8" t="str">
        <f>TRIM(PROPER(CleanOrderTableWIP[[#This Row],[region]]))</f>
        <v>North</v>
      </c>
      <c r="H8" t="s">
        <v>44</v>
      </c>
      <c r="I8" t="s">
        <v>45</v>
      </c>
      <c r="J8" t="str">
        <f>TRIM(PROPER(CleanOrderTableWIP[[#This Row],[category]]))</f>
        <v>Software</v>
      </c>
      <c r="K8">
        <v>5</v>
      </c>
      <c r="L8">
        <v>14.99</v>
      </c>
      <c r="M8" t="b">
        <v>0</v>
      </c>
      <c r="N8" t="str" cm="1">
        <f t="array" ref="N8">_xlfn.IFS(CleanOrderTableWIP[[#This Row],[returned]]="N","FALSE",CleanOrderTableWIP[[#This Row],[returned]]="no","FALSE",CleanOrderTableWIP[[#This Row],[returned]]="Y","TRUE",TRUE,"FALSE")</f>
        <v>FALSE</v>
      </c>
    </row>
    <row r="9" spans="1:17" x14ac:dyDescent="0.2">
      <c r="A9" t="s">
        <v>46</v>
      </c>
      <c r="B9" s="1">
        <v>46179</v>
      </c>
      <c r="C9" t="s">
        <v>47</v>
      </c>
      <c r="D9" t="s">
        <v>48</v>
      </c>
      <c r="E9" t="str">
        <f>TRIM(PROPER(CleanOrderTableWIP[[#This Row],[customer_name]]))</f>
        <v>Fatima Bello</v>
      </c>
      <c r="F9" t="s">
        <v>25</v>
      </c>
      <c r="G9" t="str">
        <f>TRIM(PROPER(CleanOrderTableWIP[[#This Row],[region]]))</f>
        <v>South</v>
      </c>
      <c r="H9" t="s">
        <v>49</v>
      </c>
      <c r="I9" t="s">
        <v>40</v>
      </c>
      <c r="J9" t="str">
        <f>TRIM(PROPER(CleanOrderTableWIP[[#This Row],[category]]))</f>
        <v>Furniture</v>
      </c>
      <c r="K9" t="s">
        <v>50</v>
      </c>
      <c r="L9">
        <v>49.99</v>
      </c>
      <c r="M9" t="b">
        <v>0</v>
      </c>
      <c r="N9" t="str" cm="1">
        <f t="array" ref="N9">_xlfn.IFS(CleanOrderTableWIP[[#This Row],[returned]]="N","FALSE",CleanOrderTableWIP[[#This Row],[returned]]="no","FALSE",CleanOrderTableWIP[[#This Row],[returned]]="Y","TRUE",TRUE,"FALSE")</f>
        <v>FALSE</v>
      </c>
    </row>
    <row r="10" spans="1:17" x14ac:dyDescent="0.2">
      <c r="A10" t="s">
        <v>51</v>
      </c>
      <c r="B10" s="1">
        <v>46180</v>
      </c>
      <c r="C10" t="s">
        <v>52</v>
      </c>
      <c r="D10" t="s">
        <v>53</v>
      </c>
      <c r="E10" t="str">
        <f>TRIM(PROPER(CleanOrderTableWIP[[#This Row],[customer_name]]))</f>
        <v>Grace Hill</v>
      </c>
      <c r="F10" t="s">
        <v>54</v>
      </c>
      <c r="G10" t="str">
        <f>TRIM(PROPER(CleanOrderTableWIP[[#This Row],[region]]))</f>
        <v>East</v>
      </c>
      <c r="H10" t="s">
        <v>55</v>
      </c>
      <c r="I10" t="s">
        <v>56</v>
      </c>
      <c r="J10" t="str">
        <f>TRIM(PROPER(CleanOrderTableWIP[[#This Row],[category]]))</f>
        <v>Software</v>
      </c>
      <c r="K10">
        <v>1</v>
      </c>
      <c r="L10">
        <v>79.989999999999995</v>
      </c>
      <c r="M10" t="b">
        <v>0</v>
      </c>
      <c r="N10" t="str" cm="1">
        <f t="array" ref="N10">_xlfn.IFS(CleanOrderTableWIP[[#This Row],[returned]]="N","FALSE",CleanOrderTableWIP[[#This Row],[returned]]="no","FALSE",CleanOrderTableWIP[[#This Row],[returned]]="Y","TRUE",TRUE,"FALSE")</f>
        <v>FALSE</v>
      </c>
    </row>
    <row r="11" spans="1:17" x14ac:dyDescent="0.2">
      <c r="A11" t="s">
        <v>57</v>
      </c>
      <c r="B11" s="1">
        <v>46181</v>
      </c>
      <c r="C11" t="s">
        <v>58</v>
      </c>
      <c r="D11" t="s">
        <v>59</v>
      </c>
      <c r="E11" t="str">
        <f>TRIM(PROPER(CleanOrderTableWIP[[#This Row],[customer_name]]))</f>
        <v>Hugo Silva</v>
      </c>
      <c r="F11" t="s">
        <v>38</v>
      </c>
      <c r="G11" t="str">
        <f>TRIM(PROPER(CleanOrderTableWIP[[#This Row],[region]]))</f>
        <v>West</v>
      </c>
      <c r="H11" t="s">
        <v>32</v>
      </c>
      <c r="I11" t="s">
        <v>33</v>
      </c>
      <c r="J11" t="str">
        <f>TRIM(PROPER(CleanOrderTableWIP[[#This Row],[category]]))</f>
        <v>Hardware</v>
      </c>
      <c r="K11">
        <v>2</v>
      </c>
      <c r="M11" t="b">
        <v>0</v>
      </c>
      <c r="N11" s="7" t="str" cm="1">
        <f t="array" ref="N11">_xlfn.IFS(CleanOrderTableWIP[[#This Row],[returned]]="N","FALSE",CleanOrderTableWIP[[#This Row],[returned]]="no","FALSE",CleanOrderTableWIP[[#This Row],[returned]]="Y","TRUE",TRUE,"FALSE")</f>
        <v>FALSE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8202-2C7A-734D-8152-0420524A272E}">
  <dimension ref="A2:J3"/>
  <sheetViews>
    <sheetView workbookViewId="0">
      <selection activeCell="A3" sqref="A3:J3"/>
    </sheetView>
  </sheetViews>
  <sheetFormatPr baseColWidth="10" defaultRowHeight="16" x14ac:dyDescent="0.2"/>
  <sheetData>
    <row r="2" spans="1:10" x14ac:dyDescent="0.2">
      <c r="A2" s="2" t="s">
        <v>35</v>
      </c>
      <c r="B2" s="3"/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>
        <v>3</v>
      </c>
      <c r="I2" s="3">
        <v>129.99</v>
      </c>
      <c r="J2" s="4" t="s">
        <v>81</v>
      </c>
    </row>
    <row r="3" spans="1:10" x14ac:dyDescent="0.2">
      <c r="A3" s="2" t="s">
        <v>57</v>
      </c>
      <c r="B3" s="5">
        <v>46181</v>
      </c>
      <c r="C3" s="3" t="s">
        <v>58</v>
      </c>
      <c r="D3" s="3" t="s">
        <v>59</v>
      </c>
      <c r="E3" s="3" t="s">
        <v>38</v>
      </c>
      <c r="F3" s="3" t="s">
        <v>32</v>
      </c>
      <c r="G3" s="3" t="s">
        <v>33</v>
      </c>
      <c r="H3" s="3">
        <v>2</v>
      </c>
      <c r="I3" s="3"/>
      <c r="J3" s="4" t="s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641A-74C3-354F-B544-B03D1BC6A418}">
  <dimension ref="A1:J10"/>
  <sheetViews>
    <sheetView workbookViewId="0">
      <selection sqref="A1:J1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46174</v>
      </c>
      <c r="C2" t="s">
        <v>11</v>
      </c>
      <c r="D2" t="s">
        <v>75</v>
      </c>
      <c r="E2" t="s">
        <v>18</v>
      </c>
      <c r="F2" t="s">
        <v>14</v>
      </c>
      <c r="G2" t="s">
        <v>20</v>
      </c>
      <c r="H2">
        <v>2</v>
      </c>
      <c r="I2">
        <v>24.99</v>
      </c>
      <c r="J2" t="s">
        <v>81</v>
      </c>
    </row>
    <row r="3" spans="1:10" x14ac:dyDescent="0.2">
      <c r="A3" t="s">
        <v>10</v>
      </c>
      <c r="B3" s="1">
        <v>46174</v>
      </c>
      <c r="C3" t="s">
        <v>11</v>
      </c>
      <c r="D3" t="s">
        <v>75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81</v>
      </c>
    </row>
    <row r="4" spans="1:10" x14ac:dyDescent="0.2">
      <c r="A4" t="s">
        <v>22</v>
      </c>
      <c r="B4" s="1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44.99</v>
      </c>
      <c r="J4" t="s">
        <v>81</v>
      </c>
    </row>
    <row r="5" spans="1:10" x14ac:dyDescent="0.2">
      <c r="A5" t="s">
        <v>28</v>
      </c>
      <c r="B5" s="1">
        <v>46176</v>
      </c>
      <c r="C5" t="s">
        <v>29</v>
      </c>
      <c r="D5" t="s">
        <v>30</v>
      </c>
      <c r="E5" t="s">
        <v>54</v>
      </c>
      <c r="F5" t="s">
        <v>32</v>
      </c>
      <c r="G5" t="s">
        <v>33</v>
      </c>
      <c r="H5">
        <v>1</v>
      </c>
      <c r="I5">
        <v>189.99</v>
      </c>
      <c r="J5" t="s">
        <v>82</v>
      </c>
    </row>
    <row r="6" spans="1:10" x14ac:dyDescent="0.2">
      <c r="A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3</v>
      </c>
      <c r="I6">
        <v>129.99</v>
      </c>
      <c r="J6" t="s">
        <v>81</v>
      </c>
    </row>
    <row r="7" spans="1:10" x14ac:dyDescent="0.2">
      <c r="A7" t="s">
        <v>41</v>
      </c>
      <c r="B7" s="1">
        <v>46178</v>
      </c>
      <c r="C7" t="s">
        <v>42</v>
      </c>
      <c r="D7" t="s">
        <v>43</v>
      </c>
      <c r="E7" t="s">
        <v>18</v>
      </c>
      <c r="F7" t="s">
        <v>44</v>
      </c>
      <c r="G7" t="s">
        <v>56</v>
      </c>
      <c r="H7">
        <v>5</v>
      </c>
      <c r="I7">
        <v>14.99</v>
      </c>
      <c r="J7" t="s">
        <v>81</v>
      </c>
    </row>
    <row r="8" spans="1:10" x14ac:dyDescent="0.2">
      <c r="A8" t="s">
        <v>46</v>
      </c>
      <c r="B8" s="1">
        <v>46179</v>
      </c>
      <c r="C8" t="s">
        <v>47</v>
      </c>
      <c r="D8" t="s">
        <v>48</v>
      </c>
      <c r="E8" t="s">
        <v>25</v>
      </c>
      <c r="F8" t="s">
        <v>49</v>
      </c>
      <c r="G8" t="s">
        <v>40</v>
      </c>
      <c r="H8">
        <v>2</v>
      </c>
      <c r="I8">
        <v>49.99</v>
      </c>
      <c r="J8" t="s">
        <v>81</v>
      </c>
    </row>
    <row r="9" spans="1:10" x14ac:dyDescent="0.2">
      <c r="A9" t="s">
        <v>51</v>
      </c>
      <c r="B9" s="1">
        <v>46180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>
        <v>1</v>
      </c>
      <c r="I9">
        <v>79.989999999999995</v>
      </c>
      <c r="J9" t="s">
        <v>81</v>
      </c>
    </row>
    <row r="10" spans="1:10" x14ac:dyDescent="0.2">
      <c r="A10" t="s">
        <v>57</v>
      </c>
      <c r="B10" s="1">
        <v>46181</v>
      </c>
      <c r="C10" t="s">
        <v>58</v>
      </c>
      <c r="D10" t="s">
        <v>59</v>
      </c>
      <c r="E10" t="s">
        <v>38</v>
      </c>
      <c r="F10" t="s">
        <v>32</v>
      </c>
      <c r="G10" t="s">
        <v>33</v>
      </c>
      <c r="H10">
        <v>2</v>
      </c>
      <c r="J10" t="s">
        <v>81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D715-BC55-C649-B0F7-941F7D002369}">
  <dimension ref="A1:C8"/>
  <sheetViews>
    <sheetView workbookViewId="0">
      <selection activeCell="B8" sqref="B8"/>
    </sheetView>
  </sheetViews>
  <sheetFormatPr baseColWidth="10" defaultRowHeight="16" x14ac:dyDescent="0.2"/>
  <cols>
    <col min="1" max="1" width="4.1640625" bestFit="1" customWidth="1"/>
    <col min="2" max="2" width="25.5" bestFit="1" customWidth="1"/>
    <col min="3" max="3" width="72" bestFit="1" customWidth="1"/>
  </cols>
  <sheetData>
    <row r="1" spans="1:3" x14ac:dyDescent="0.2">
      <c r="A1" t="s">
        <v>66</v>
      </c>
      <c r="B1" t="s">
        <v>85</v>
      </c>
      <c r="C1" t="s">
        <v>87</v>
      </c>
    </row>
    <row r="2" spans="1:3" x14ac:dyDescent="0.2">
      <c r="A2">
        <v>1</v>
      </c>
      <c r="B2" t="s">
        <v>86</v>
      </c>
      <c r="C2" t="s">
        <v>88</v>
      </c>
    </row>
    <row r="3" spans="1:3" x14ac:dyDescent="0.2">
      <c r="A3">
        <v>2</v>
      </c>
      <c r="B3" t="s">
        <v>89</v>
      </c>
      <c r="C3" t="s">
        <v>90</v>
      </c>
    </row>
    <row r="4" spans="1:3" x14ac:dyDescent="0.2">
      <c r="A4">
        <v>3</v>
      </c>
      <c r="B4" t="s">
        <v>91</v>
      </c>
      <c r="C4" t="s">
        <v>92</v>
      </c>
    </row>
    <row r="5" spans="1:3" x14ac:dyDescent="0.2">
      <c r="A5">
        <v>4</v>
      </c>
      <c r="B5" t="s">
        <v>93</v>
      </c>
      <c r="C5" t="s">
        <v>94</v>
      </c>
    </row>
    <row r="6" spans="1:3" x14ac:dyDescent="0.2">
      <c r="A6">
        <v>5</v>
      </c>
      <c r="B6" t="s">
        <v>95</v>
      </c>
      <c r="C6" t="s">
        <v>96</v>
      </c>
    </row>
    <row r="7" spans="1:3" x14ac:dyDescent="0.2">
      <c r="A7">
        <v>6</v>
      </c>
      <c r="B7" t="s">
        <v>97</v>
      </c>
      <c r="C7" t="s">
        <v>98</v>
      </c>
    </row>
    <row r="8" spans="1:3" x14ac:dyDescent="0.2">
      <c r="A8">
        <v>7</v>
      </c>
      <c r="B8" t="s">
        <v>99</v>
      </c>
      <c r="C8" t="s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C70E-415D-DB4D-B316-F7BF9D420951}">
  <dimension ref="A1:J11"/>
  <sheetViews>
    <sheetView workbookViewId="0">
      <selection activeCell="J14" sqref="J1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46174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>
        <v>24.99</v>
      </c>
      <c r="J2" t="s">
        <v>16</v>
      </c>
    </row>
    <row r="3" spans="1:10" x14ac:dyDescent="0.2">
      <c r="A3" t="s">
        <v>10</v>
      </c>
      <c r="B3" s="1">
        <v>46174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21</v>
      </c>
    </row>
    <row r="4" spans="1:10" x14ac:dyDescent="0.2">
      <c r="A4" t="s">
        <v>22</v>
      </c>
      <c r="B4" s="1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44.99</v>
      </c>
      <c r="J4" t="b">
        <v>0</v>
      </c>
    </row>
    <row r="5" spans="1:10" x14ac:dyDescent="0.2">
      <c r="A5" t="s">
        <v>28</v>
      </c>
      <c r="B5" s="1">
        <v>46176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</v>
      </c>
      <c r="I5">
        <v>189.99</v>
      </c>
      <c r="J5" t="s">
        <v>34</v>
      </c>
    </row>
    <row r="6" spans="1:10" x14ac:dyDescent="0.2">
      <c r="A6" t="s">
        <v>28</v>
      </c>
      <c r="B6" s="1">
        <v>46176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1</v>
      </c>
      <c r="I6">
        <v>189.99</v>
      </c>
      <c r="J6" t="s">
        <v>34</v>
      </c>
    </row>
    <row r="7" spans="1:10" x14ac:dyDescent="0.2">
      <c r="A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3</v>
      </c>
      <c r="I7">
        <v>129.99</v>
      </c>
      <c r="J7" t="b">
        <v>0</v>
      </c>
    </row>
    <row r="8" spans="1:10" x14ac:dyDescent="0.2">
      <c r="A8" t="s">
        <v>41</v>
      </c>
      <c r="B8" s="1">
        <v>46178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>
        <v>5</v>
      </c>
      <c r="I8">
        <v>14.99</v>
      </c>
      <c r="J8" t="b">
        <v>0</v>
      </c>
    </row>
    <row r="9" spans="1:10" x14ac:dyDescent="0.2">
      <c r="A9" t="s">
        <v>46</v>
      </c>
      <c r="B9" s="1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 t="s">
        <v>50</v>
      </c>
      <c r="I9">
        <v>49.99</v>
      </c>
      <c r="J9" t="b">
        <v>0</v>
      </c>
    </row>
    <row r="10" spans="1:10" x14ac:dyDescent="0.2">
      <c r="A10" t="s">
        <v>51</v>
      </c>
      <c r="B10" s="1">
        <v>46180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>
        <v>1</v>
      </c>
      <c r="I10">
        <v>79.989999999999995</v>
      </c>
      <c r="J10" t="b">
        <v>0</v>
      </c>
    </row>
    <row r="11" spans="1:10" x14ac:dyDescent="0.2">
      <c r="A11" t="s">
        <v>57</v>
      </c>
      <c r="B11" s="1">
        <v>46181</v>
      </c>
      <c r="C11" t="s">
        <v>58</v>
      </c>
      <c r="D11" t="s">
        <v>59</v>
      </c>
      <c r="E11" t="s">
        <v>38</v>
      </c>
      <c r="F11" t="s">
        <v>32</v>
      </c>
      <c r="G11" t="s">
        <v>33</v>
      </c>
      <c r="H11">
        <v>2</v>
      </c>
      <c r="J11" t="b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FF02-6BB0-604E-86CA-2B0303EFBB07}">
  <dimension ref="A1:J10"/>
  <sheetViews>
    <sheetView workbookViewId="0">
      <selection activeCell="G5" sqref="G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46174</v>
      </c>
      <c r="C2" t="s">
        <v>11</v>
      </c>
      <c r="D2" t="s">
        <v>75</v>
      </c>
      <c r="E2" t="s">
        <v>18</v>
      </c>
      <c r="F2" t="s">
        <v>14</v>
      </c>
      <c r="G2" t="s">
        <v>20</v>
      </c>
      <c r="H2">
        <v>2</v>
      </c>
      <c r="I2">
        <v>24.99</v>
      </c>
      <c r="J2" t="s">
        <v>81</v>
      </c>
    </row>
    <row r="3" spans="1:10" x14ac:dyDescent="0.2">
      <c r="A3" t="s">
        <v>10</v>
      </c>
      <c r="B3" s="1">
        <v>46174</v>
      </c>
      <c r="C3" t="s">
        <v>11</v>
      </c>
      <c r="D3" t="s">
        <v>75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81</v>
      </c>
    </row>
    <row r="4" spans="1:10" x14ac:dyDescent="0.2">
      <c r="A4" t="s">
        <v>22</v>
      </c>
      <c r="B4" s="1">
        <v>46175</v>
      </c>
      <c r="C4" t="s">
        <v>23</v>
      </c>
      <c r="D4" t="s">
        <v>24</v>
      </c>
      <c r="E4" t="s">
        <v>25</v>
      </c>
      <c r="F4" t="s">
        <v>26</v>
      </c>
      <c r="G4" t="s">
        <v>20</v>
      </c>
      <c r="H4">
        <v>1</v>
      </c>
      <c r="I4">
        <v>44.99</v>
      </c>
      <c r="J4" t="s">
        <v>81</v>
      </c>
    </row>
    <row r="5" spans="1:10" x14ac:dyDescent="0.2">
      <c r="A5" t="s">
        <v>28</v>
      </c>
      <c r="B5" s="1">
        <v>46176</v>
      </c>
      <c r="C5" t="s">
        <v>29</v>
      </c>
      <c r="D5" t="s">
        <v>30</v>
      </c>
      <c r="E5" t="s">
        <v>54</v>
      </c>
      <c r="F5" t="s">
        <v>32</v>
      </c>
      <c r="G5" t="s">
        <v>33</v>
      </c>
      <c r="H5">
        <v>1</v>
      </c>
      <c r="I5">
        <v>189.99</v>
      </c>
      <c r="J5" t="s">
        <v>82</v>
      </c>
    </row>
    <row r="6" spans="1:10" x14ac:dyDescent="0.2">
      <c r="A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3</v>
      </c>
      <c r="I6">
        <v>129.99</v>
      </c>
      <c r="J6" t="s">
        <v>81</v>
      </c>
    </row>
    <row r="7" spans="1:10" x14ac:dyDescent="0.2">
      <c r="A7" t="s">
        <v>41</v>
      </c>
      <c r="B7" s="1">
        <v>46178</v>
      </c>
      <c r="C7" t="s">
        <v>42</v>
      </c>
      <c r="D7" t="s">
        <v>43</v>
      </c>
      <c r="E7" t="s">
        <v>18</v>
      </c>
      <c r="F7" t="s">
        <v>44</v>
      </c>
      <c r="G7" t="s">
        <v>56</v>
      </c>
      <c r="H7">
        <v>5</v>
      </c>
      <c r="I7">
        <v>14.99</v>
      </c>
      <c r="J7" t="s">
        <v>81</v>
      </c>
    </row>
    <row r="8" spans="1:10" x14ac:dyDescent="0.2">
      <c r="A8" t="s">
        <v>46</v>
      </c>
      <c r="B8" s="1">
        <v>46179</v>
      </c>
      <c r="C8" t="s">
        <v>47</v>
      </c>
      <c r="D8" t="s">
        <v>48</v>
      </c>
      <c r="E8" t="s">
        <v>25</v>
      </c>
      <c r="F8" t="s">
        <v>49</v>
      </c>
      <c r="G8" t="s">
        <v>40</v>
      </c>
      <c r="H8">
        <v>2</v>
      </c>
      <c r="I8">
        <v>49.99</v>
      </c>
      <c r="J8" t="s">
        <v>81</v>
      </c>
    </row>
    <row r="9" spans="1:10" x14ac:dyDescent="0.2">
      <c r="A9" t="s">
        <v>51</v>
      </c>
      <c r="B9" s="1">
        <v>46180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>
        <v>1</v>
      </c>
      <c r="I9">
        <v>79.989999999999995</v>
      </c>
      <c r="J9" t="s">
        <v>81</v>
      </c>
    </row>
    <row r="10" spans="1:10" x14ac:dyDescent="0.2">
      <c r="A10" t="s">
        <v>57</v>
      </c>
      <c r="B10" s="1">
        <v>46181</v>
      </c>
      <c r="C10" t="s">
        <v>58</v>
      </c>
      <c r="D10" t="s">
        <v>59</v>
      </c>
      <c r="E10" t="s">
        <v>38</v>
      </c>
      <c r="F10" t="s">
        <v>32</v>
      </c>
      <c r="G10" t="s">
        <v>33</v>
      </c>
      <c r="H10">
        <v>2</v>
      </c>
      <c r="J10" t="s">
        <v>81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65F6-51FF-984C-94E0-BED9CA07B970}">
  <dimension ref="A1:F8"/>
  <sheetViews>
    <sheetView tabSelected="1" workbookViewId="0">
      <selection activeCell="F4" sqref="F4"/>
    </sheetView>
  </sheetViews>
  <sheetFormatPr baseColWidth="10" defaultRowHeight="16" x14ac:dyDescent="0.2"/>
  <cols>
    <col min="1" max="1" width="4" customWidth="1"/>
    <col min="2" max="2" width="18.83203125" bestFit="1" customWidth="1"/>
    <col min="3" max="3" width="35.5" bestFit="1" customWidth="1"/>
    <col min="5" max="5" width="44.83203125" bestFit="1" customWidth="1"/>
    <col min="6" max="6" width="10.83203125" customWidth="1"/>
  </cols>
  <sheetData>
    <row r="1" spans="1:6" x14ac:dyDescent="0.2">
      <c r="A1" s="8" t="s">
        <v>114</v>
      </c>
      <c r="B1" s="8"/>
      <c r="C1" s="8"/>
    </row>
    <row r="2" spans="1:6" x14ac:dyDescent="0.2">
      <c r="A2" s="6" t="s">
        <v>66</v>
      </c>
      <c r="B2" s="6" t="s">
        <v>107</v>
      </c>
      <c r="C2" s="6" t="s">
        <v>115</v>
      </c>
      <c r="E2" s="6" t="s">
        <v>123</v>
      </c>
    </row>
    <row r="3" spans="1:6" x14ac:dyDescent="0.2">
      <c r="A3">
        <v>1</v>
      </c>
      <c r="B3" t="s">
        <v>108</v>
      </c>
      <c r="C3" t="s">
        <v>121</v>
      </c>
      <c r="E3" t="s">
        <v>122</v>
      </c>
      <c r="F3" t="s">
        <v>130</v>
      </c>
    </row>
    <row r="4" spans="1:6" x14ac:dyDescent="0.2">
      <c r="A4">
        <v>2</v>
      </c>
      <c r="B4" t="s">
        <v>109</v>
      </c>
      <c r="C4" t="s">
        <v>116</v>
      </c>
      <c r="E4" t="s">
        <v>124</v>
      </c>
      <c r="F4" t="s">
        <v>20</v>
      </c>
    </row>
    <row r="5" spans="1:6" x14ac:dyDescent="0.2">
      <c r="A5">
        <v>3</v>
      </c>
      <c r="B5" t="s">
        <v>110</v>
      </c>
      <c r="C5" t="s">
        <v>117</v>
      </c>
      <c r="E5" t="s">
        <v>125</v>
      </c>
      <c r="F5">
        <v>7</v>
      </c>
    </row>
    <row r="6" spans="1:6" x14ac:dyDescent="0.2">
      <c r="A6">
        <v>4</v>
      </c>
      <c r="B6" t="s">
        <v>111</v>
      </c>
      <c r="C6" t="s">
        <v>118</v>
      </c>
      <c r="E6" t="s">
        <v>126</v>
      </c>
      <c r="F6" t="s">
        <v>127</v>
      </c>
    </row>
    <row r="7" spans="1:6" x14ac:dyDescent="0.2">
      <c r="A7">
        <v>5</v>
      </c>
      <c r="B7" t="s">
        <v>112</v>
      </c>
      <c r="C7" t="s">
        <v>119</v>
      </c>
    </row>
    <row r="8" spans="1:6" x14ac:dyDescent="0.2">
      <c r="A8">
        <v>6</v>
      </c>
      <c r="B8" t="s">
        <v>113</v>
      </c>
      <c r="C8" t="s">
        <v>120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RawData</vt:lpstr>
      <vt:lpstr>Profille</vt:lpstr>
      <vt:lpstr>IssueLog</vt:lpstr>
      <vt:lpstr>CleaningRules</vt:lpstr>
      <vt:lpstr>CleanData</vt:lpstr>
      <vt:lpstr>CleanDataWIP</vt:lpstr>
      <vt:lpstr>RejectedRows</vt:lpstr>
      <vt:lpstr>ValidationChecks</vt:lpstr>
      <vt:lpstr>ValidationSummary</vt:lpstr>
      <vt:lpstr>DirtyAnswer</vt:lpstr>
      <vt:lpstr>CleanAnswer</vt:lpstr>
      <vt:lpstr>FinalNote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Kolawole</dc:creator>
  <cp:lastModifiedBy>Samuel Kolawole</cp:lastModifiedBy>
  <dcterms:created xsi:type="dcterms:W3CDTF">2026-07-11T14:09:48Z</dcterms:created>
  <dcterms:modified xsi:type="dcterms:W3CDTF">2026-07-11T16:51:41Z</dcterms:modified>
</cp:coreProperties>
</file>